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2/Grupo 6/"/>
    </mc:Choice>
  </mc:AlternateContent>
  <xr:revisionPtr revIDLastSave="0" documentId="13_ncr:1_{438F3E66-30C4-304F-B683-B23981C9F756}" xr6:coauthVersionLast="47" xr6:coauthVersionMax="47" xr10:uidLastSave="{00000000-0000-0000-0000-000000000000}"/>
  <bookViews>
    <workbookView xWindow="0" yWindow="66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C47" i="1" s="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<sst xmlns="http://schemas.openxmlformats.org/spreadsheetml/2006/main" count="166" uniqueCount="107">
  <si>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</si>
  <si>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</si>
  <si>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</si>
  <si>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</si>
  <si>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</si>
  <si>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</si>
  <si>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</si>
  <si>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</si>
  <si>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</si>
  <si>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</si>
  <si>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</si>
  <si>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</si>
  <si>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</si>
  <si>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</si>
  <si>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</si>
  <si>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</si>
  <si>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</si>
  <si>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</si>
  <si>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</si>
  <si>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</si>
  <si>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</si>
  <si>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</si>
  <si>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</si>
  <si>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</si>
  <si>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</si>
  <si>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</si>
  <si>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</si>
  <si>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</si>
  <si>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</si>
  <si>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</si>
  <si>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</si>
  <si>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</si>
  <si>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</si>
  <si>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</si>
  <si>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</si>
  <si>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</si>
  <si>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</si>
  <si>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</si>
  <si>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</si>
  <si>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</si>
  <si>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</si>
  <si>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</si>
  <si>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</si>
  <si>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</si>
  <si>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</si>
  <si>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</si>
  <si>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</si>
  <si>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</si>
  <si>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</si>
  <si>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</si>
  <si>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</si>
  <si>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</si>
  <si>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</si>
  <si>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</si>
  <si>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</si>
  <si>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</si>
  <si>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</si>
  <si>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</si>
  <si>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</si>
  <si>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</si>
  <si>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</si>
  <si>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</si>
  <si>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</si>
  <si>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</si>
  <si>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</si>
  <si>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</si>
  <si>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</si>
  <si>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</si>
  <si>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</si>
  <si>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</si>
  <si>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</si>
  <si>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</si>
  <si>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</si>
  <si>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</si>
  <si>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</si>
  <si>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</si>
  <si>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</si>
  <si>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</si>
  <si>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</si>
  <si>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</si>
  <si>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</si>
  <si>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</si>
  <si>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</si>
  <si>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</si>
  <si>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</si>
  <si>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</si>
  <si>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</si>
  <si>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</si>
  <si>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</si>
  <si>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</si>
  <si>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</si>
  <si>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</si>
  <si>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</si>
  <si>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</si>
  <si>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</si>
  <si>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Luz Hermosilla</t>
  </si>
  <si>
    <t>Cristobal Gonzalez</t>
  </si>
  <si>
    <t>Jorge Solis</t>
  </si>
  <si>
    <t>Rodrigo Lopez</t>
  </si>
  <si>
    <t>PPT</t>
  </si>
  <si>
    <t>Aclarar quien es el PO</t>
  </si>
  <si>
    <t>El objetivo es muy largo</t>
  </si>
  <si>
    <t>Sacar limitaciones, dejar solo las más importantes y relevanres</t>
  </si>
  <si>
    <t>El cronograma debe estar planteado desde las historias de usuarios</t>
  </si>
  <si>
    <t>Revisar la arquitectura</t>
  </si>
  <si>
    <t>En las tecnologías falta Jira</t>
  </si>
  <si>
    <t>En el GIT Faltan algunos archivos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</si>
</sst>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3" fillId="0" borderId="0" xfId="0" applyFont="1"/>
    <xf numFmtId="0" fontId="13" fillId="0" borderId="0" xfId="0" applyFont="1" applyFill="1" applyBorder="1"/>
    <xf numFmtId="164" fontId="0" fillId="0" borderId="0" xfId="0" applyNumberFormat="1" applyAlignment="1">
      <alignment horizont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64</xdr:row>
      <xdr:rowOff>137583</xdr:rowOff>
    </xdr:from>
    <xdr:to>
      <xdr:col>8</xdr:col>
      <xdr:colOff>131702</xdr:colOff>
      <xdr:row>98</xdr:row>
      <xdr:rowOff>158750</xdr:rowOff>
    </xdr:to>
    <xdr:pic>
      <xdr:nvPicPr>
        <xdr:cNvPr id="2" name="Imagen 1">
          <a:extLst>
            <a:ext uri="{FF2B5EF4-FFF2-40B4-BE49-F238E27FC236}">
              <a16:creationId xmlns:a16="http://schemas.microsoft.com/office/drawing/2014/main" id="{F5410620-0093-6B02-0EF8-7F2B4C34AB52}"/>
            </a:ext>
          </a:extLst>
        </xdr:cNvPr>
        <xdr:cNvPicPr>
          <a:picLocks noChangeAspect="1"/>
        </xdr:cNvPicPr>
      </xdr:nvPicPr>
      <xdr:blipFill>
        <a:blip xmlns:r="http://schemas.openxmlformats.org/officeDocument/2006/relationships" r:embed="rId1"/>
        <a:stretch>
          <a:fillRect/>
        </a:stretch>
      </xdr:blipFill>
      <xdr:spPr>
        <a:xfrm>
          <a:off x="5905500" y="14128750"/>
          <a:ext cx="5920785" cy="6498167"/>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J10" sqref="J10"/>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95</v>
      </c>
      <c r="C4" s="6">
        <f>EVALUACION1!$C$24</f>
        <v>6</v>
      </c>
      <c r="D4" s="6">
        <f>$C$35</f>
        <v>6</v>
      </c>
      <c r="E4" s="43">
        <f>C4*C$2+D4*D$2</f>
        <v>6</v>
      </c>
      <c r="G4" s="1"/>
    </row>
    <row r="5" spans="1:11" x14ac:dyDescent="0.2">
      <c r="A5" s="5">
        <v>2</v>
      </c>
      <c r="B5" s="32" t="s">
        <v>96</v>
      </c>
      <c r="C5" s="6">
        <f>EVALUACION1!$C$24</f>
        <v>6</v>
      </c>
      <c r="D5" s="6">
        <f>C47</f>
        <v>6</v>
      </c>
      <c r="E5" s="43">
        <f t="shared" ref="E5:E6" si="0">C5*C$2+D5*D$2</f>
        <v>6</v>
      </c>
      <c r="G5" s="1"/>
    </row>
    <row r="6" spans="1:11" x14ac:dyDescent="0.2">
      <c r="A6" s="5">
        <v>3</v>
      </c>
      <c r="B6" s="32" t="s">
        <v>97</v>
      </c>
      <c r="C6" s="6">
        <f>EVALUACION1!$C$24</f>
        <v>6</v>
      </c>
      <c r="D6" s="6">
        <f>C58</f>
        <v>7</v>
      </c>
      <c r="E6" s="43">
        <f t="shared" si="0"/>
        <v>6.25</v>
      </c>
      <c r="G6" s="1"/>
    </row>
    <row r="7" spans="1:11" ht="15" customHeight="1" x14ac:dyDescent="0.2">
      <c r="B7" t="s">
        <v>98</v>
      </c>
      <c r="C7" s="81">
        <v>6</v>
      </c>
      <c r="D7" s="81">
        <v>7</v>
      </c>
      <c r="E7" s="81">
        <v>6.25</v>
      </c>
    </row>
    <row r="11" spans="1:11" ht="19" outlineLevel="1" x14ac:dyDescent="0.2">
      <c r="A11" s="64" t="s">
        <v>3</v>
      </c>
      <c r="B11" s="14"/>
      <c r="C11" s="51" t="s">
        <v>4</v>
      </c>
      <c r="D11" s="58" t="s">
        <v>5</v>
      </c>
      <c r="E11" s="62"/>
      <c r="F11" s="62"/>
      <c r="G11" s="62"/>
      <c r="H11" s="62"/>
      <c r="I11" s="62"/>
      <c r="J11" s="62"/>
      <c r="K11" s="59"/>
    </row>
    <row r="12" spans="1:11" outlineLevel="1" x14ac:dyDescent="0.2">
      <c r="A12" s="61"/>
      <c r="B12" s="24" t="s">
        <v>6</v>
      </c>
      <c r="C12" s="50"/>
      <c r="D12" s="58" t="s">
        <v>7</v>
      </c>
      <c r="E12" s="59"/>
      <c r="F12" s="58" t="s">
        <v>8</v>
      </c>
      <c r="G12" s="59"/>
      <c r="H12" s="58" t="s">
        <v>9</v>
      </c>
      <c r="I12" s="59"/>
      <c r="J12" s="58" t="s">
        <v>10</v>
      </c>
      <c r="K12" s="59"/>
    </row>
    <row r="13" spans="1:11" ht="26" outlineLevel="1" x14ac:dyDescent="0.2">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2">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outlineLevel="1" x14ac:dyDescent="0.2">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outlineLevel="1" x14ac:dyDescent="0.2">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6" outlineLevel="1" x14ac:dyDescent="0.2">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93</v>
      </c>
      <c r="D18" s="16" t="str">
        <f t="shared" si="12"/>
        <v/>
      </c>
      <c r="E18" s="16" t="str">
        <f t="shared" ref="E18" si="20">IF(D18="X",100*0.1,"")</f>
        <v/>
      </c>
      <c r="F18" s="16" t="str">
        <f t="shared" si="14"/>
        <v/>
      </c>
      <c r="G18" s="16" t="str">
        <f t="shared" ref="G18" si="21">IF(F18="X",60*0.1,"")</f>
        <v/>
      </c>
      <c r="H18" s="16" t="str">
        <f t="shared" si="16"/>
        <v>X</v>
      </c>
      <c r="I18" s="16">
        <f t="shared" ref="I18" si="22">IF(H18="X",30*0.1,"")</f>
        <v>3</v>
      </c>
      <c r="J18" s="16" t="str">
        <f t="shared" si="18"/>
        <v/>
      </c>
      <c r="K18" s="16" t="str">
        <f t="shared" si="19"/>
        <v/>
      </c>
    </row>
    <row r="19" spans="1:11" ht="26" outlineLevel="1" x14ac:dyDescent="0.2">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25">
      <c r="A23" s="61"/>
      <c r="B23" s="34" t="s">
        <v>11</v>
      </c>
      <c r="C23" s="37">
        <f>E23+G23+I23+K23</f>
        <v>61</v>
      </c>
      <c r="D23" s="19"/>
      <c r="E23" s="19">
        <f>SUM(E13:E22)</f>
        <v>55</v>
      </c>
      <c r="F23" s="19"/>
      <c r="G23" s="19">
        <f>SUM(G13:G22)</f>
        <v>3</v>
      </c>
      <c r="H23" s="19"/>
      <c r="I23" s="19">
        <f>SUM(I13:I22)</f>
        <v>3</v>
      </c>
      <c r="J23" s="19"/>
      <c r="K23" s="19">
        <f>SUM(K13:K22)</f>
        <v>0</v>
      </c>
    </row>
    <row r="24" spans="1:11" ht="15.75" customHeight="1" outlineLevel="1" x14ac:dyDescent="0.25">
      <c r="A24" s="50"/>
      <c r="B24" s="36" t="s">
        <v>12</v>
      </c>
      <c r="C24" s="20">
        <f>VLOOKUP(C23,ESCALA_IEP!A2:B142,2,FALSE)</f>
        <v>6</v>
      </c>
    </row>
    <row r="25" spans="1:11" ht="15.75" customHeight="1" x14ac:dyDescent="0.2"/>
    <row r="26" spans="1:11" ht="15.75" customHeight="1" x14ac:dyDescent="0.2"/>
    <row r="27" spans="1:11" ht="15.75" customHeight="1" x14ac:dyDescent="0.2">
      <c r="A27" s="60" t="s">
        <v>13</v>
      </c>
      <c r="B27" s="49" t="s">
        <v>14</v>
      </c>
      <c r="C27" s="52" t="str">
        <f>$B$4</f>
        <v>Luz Hermosilla</v>
      </c>
      <c r="D27" s="53"/>
      <c r="E27" s="53"/>
      <c r="F27" s="53"/>
      <c r="G27" s="53"/>
      <c r="H27" s="53"/>
      <c r="I27" s="53"/>
      <c r="J27" s="53"/>
      <c r="K27" s="54"/>
    </row>
    <row r="28" spans="1:11" ht="15.75" customHeight="1" x14ac:dyDescent="0.2">
      <c r="A28" s="61"/>
      <c r="B28" s="50"/>
      <c r="C28" s="55"/>
      <c r="D28" s="56"/>
      <c r="E28" s="56"/>
      <c r="F28" s="56"/>
      <c r="G28" s="56"/>
      <c r="H28" s="56"/>
      <c r="I28" s="56"/>
      <c r="J28" s="56"/>
      <c r="K28" s="57"/>
    </row>
    <row r="29" spans="1:11" ht="15.75" customHeight="1" x14ac:dyDescent="0.2">
      <c r="A29" s="61"/>
      <c r="B29" s="14" t="s">
        <v>15</v>
      </c>
      <c r="C29" s="51" t="s">
        <v>4</v>
      </c>
      <c r="D29" s="58" t="s">
        <v>5</v>
      </c>
      <c r="E29" s="62"/>
      <c r="F29" s="62"/>
      <c r="G29" s="62"/>
      <c r="H29" s="62"/>
      <c r="I29" s="62"/>
      <c r="J29" s="62"/>
      <c r="K29" s="59"/>
    </row>
    <row r="30" spans="1:11" ht="15.75" customHeight="1" x14ac:dyDescent="0.2">
      <c r="A30" s="61"/>
      <c r="B30" s="15" t="s">
        <v>6</v>
      </c>
      <c r="C30" s="50"/>
      <c r="D30" s="58" t="s">
        <v>7</v>
      </c>
      <c r="E30" s="59"/>
      <c r="F30" s="58" t="s">
        <v>8</v>
      </c>
      <c r="G30" s="59"/>
      <c r="H30" s="58" t="s">
        <v>16</v>
      </c>
      <c r="I30" s="59"/>
      <c r="J30" s="58" t="s">
        <v>10</v>
      </c>
      <c r="K30" s="59"/>
    </row>
    <row r="31" spans="1:11" ht="24.5" customHeight="1" x14ac:dyDescent="0.2">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
      <c r="A33" s="61"/>
      <c r="B33" s="35" t="str">
        <f>RUBRICA!A17</f>
        <v>13. Colaboración y trabajo en equipo *</v>
      </c>
      <c r="C33" s="33" t="s">
        <v>8</v>
      </c>
      <c r="D33" s="16" t="str">
        <f>IF($C33=CL,"X","")</f>
        <v/>
      </c>
      <c r="E33" s="16" t="str">
        <f>IF(D33="X",100*0.1,"")</f>
        <v/>
      </c>
      <c r="F33" s="16" t="str">
        <f>IF($C33=L,"X","")</f>
        <v>X</v>
      </c>
      <c r="G33" s="16">
        <f>IF(F33="X",60*0.1,"")</f>
        <v>6</v>
      </c>
      <c r="H33" s="16" t="str">
        <f>IF($C33=ML,"X","")</f>
        <v/>
      </c>
      <c r="I33" s="16" t="str">
        <f>IF(H33="X",30*0.1,"")</f>
        <v/>
      </c>
      <c r="J33" s="16" t="str">
        <f>IF($C33=NL,"X","")</f>
        <v/>
      </c>
      <c r="K33" s="16" t="str">
        <f>IF($J33="X",0,"")</f>
        <v/>
      </c>
    </row>
    <row r="34" spans="1:11" ht="15.75" customHeight="1" x14ac:dyDescent="0.25">
      <c r="A34" s="61"/>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25">
      <c r="A35" s="50"/>
      <c r="B35" s="17" t="s">
        <v>12</v>
      </c>
      <c r="C35" s="20">
        <f>VLOOKUP(C34,ESCALA_TRAB_EQUIP!A2:B62,2,FALSE)</f>
        <v>6</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0" t="s">
        <v>13</v>
      </c>
      <c r="B39" s="49" t="s">
        <v>14</v>
      </c>
      <c r="C39" s="52" t="str">
        <f>B5</f>
        <v>Cristobal Gonzalez</v>
      </c>
      <c r="D39" s="53"/>
      <c r="E39" s="53"/>
      <c r="F39" s="53"/>
      <c r="G39" s="53"/>
      <c r="H39" s="53"/>
      <c r="I39" s="53"/>
      <c r="J39" s="53"/>
      <c r="K39" s="54"/>
    </row>
    <row r="40" spans="1:11" ht="15.75" customHeight="1" x14ac:dyDescent="0.2">
      <c r="A40" s="61"/>
      <c r="B40" s="50"/>
      <c r="C40" s="55"/>
      <c r="D40" s="56"/>
      <c r="E40" s="56"/>
      <c r="F40" s="56"/>
      <c r="G40" s="56"/>
      <c r="H40" s="56"/>
      <c r="I40" s="56"/>
      <c r="J40" s="56"/>
      <c r="K40" s="57"/>
    </row>
    <row r="41" spans="1:11" ht="15.75" customHeight="1" x14ac:dyDescent="0.2">
      <c r="A41" s="61"/>
      <c r="B41" s="14" t="s">
        <v>15</v>
      </c>
      <c r="C41" s="51" t="s">
        <v>4</v>
      </c>
      <c r="D41" s="58" t="s">
        <v>5</v>
      </c>
      <c r="E41" s="62"/>
      <c r="F41" s="62"/>
      <c r="G41" s="62"/>
      <c r="H41" s="62"/>
      <c r="I41" s="62"/>
      <c r="J41" s="62"/>
      <c r="K41" s="59"/>
    </row>
    <row r="42" spans="1:11" ht="15.75" customHeight="1" x14ac:dyDescent="0.2">
      <c r="A42" s="61"/>
      <c r="B42" s="15" t="s">
        <v>6</v>
      </c>
      <c r="C42" s="50"/>
      <c r="D42" s="58" t="s">
        <v>7</v>
      </c>
      <c r="E42" s="59"/>
      <c r="F42" s="58" t="s">
        <v>8</v>
      </c>
      <c r="G42" s="59"/>
      <c r="H42" s="58" t="s">
        <v>16</v>
      </c>
      <c r="I42" s="59"/>
      <c r="J42" s="58" t="s">
        <v>10</v>
      </c>
      <c r="K42" s="59"/>
    </row>
    <row r="43" spans="1:11" ht="26" customHeight="1" x14ac:dyDescent="0.2">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
      <c r="A45" s="61"/>
      <c r="B45" s="35" t="str">
        <f>RUBRICA!A17</f>
        <v>13. Colaboración y trabajo en equipo *</v>
      </c>
      <c r="C45" s="33" t="s">
        <v>8</v>
      </c>
      <c r="D45" s="16" t="str">
        <f>IF($C45=CL,"X","")</f>
        <v/>
      </c>
      <c r="E45" s="16" t="str">
        <f>IF(D45="X",100*0.1,"")</f>
        <v/>
      </c>
      <c r="F45" s="16" t="str">
        <f>IF($C45=L,"X","")</f>
        <v>X</v>
      </c>
      <c r="G45" s="16">
        <f>IF(F45="X",60*0.1,"")</f>
        <v>6</v>
      </c>
      <c r="H45" s="16" t="str">
        <f>IF($C45=ML,"X","")</f>
        <v/>
      </c>
      <c r="I45" s="16" t="str">
        <f>IF(H45="X",30*0.1,"")</f>
        <v/>
      </c>
      <c r="J45" s="16" t="str">
        <f>IF($C45=NL,"X","")</f>
        <v/>
      </c>
      <c r="K45" s="16" t="str">
        <f>IF($J45="X",0,"")</f>
        <v/>
      </c>
    </row>
    <row r="46" spans="1:11" ht="15.75" customHeight="1" x14ac:dyDescent="0.25">
      <c r="A46" s="61"/>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25">
      <c r="A47" s="50"/>
      <c r="B47" s="17" t="s">
        <v>12</v>
      </c>
      <c r="C47" s="20">
        <f>VLOOKUP(C46,ESCALA_TRAB_EQUIP!A2:B62,2,FALSE)</f>
        <v>6</v>
      </c>
    </row>
    <row r="48" spans="1:11" ht="15.75" customHeight="1" x14ac:dyDescent="0.25">
      <c r="B48" s="22"/>
      <c r="C48" s="23"/>
    </row>
    <row r="49" spans="1:11" ht="15.75" customHeight="1" x14ac:dyDescent="0.25">
      <c r="B49" s="22"/>
      <c r="C49" s="23"/>
    </row>
    <row r="50" spans="1:11" ht="15.75" customHeight="1" x14ac:dyDescent="0.2">
      <c r="A50" s="60" t="s">
        <v>13</v>
      </c>
      <c r="B50" s="49" t="s">
        <v>14</v>
      </c>
      <c r="C50" s="52" t="str">
        <f>B6</f>
        <v>Jorge Solis</v>
      </c>
      <c r="D50" s="53"/>
      <c r="E50" s="53"/>
      <c r="F50" s="53"/>
      <c r="G50" s="53"/>
      <c r="H50" s="53"/>
      <c r="I50" s="53"/>
      <c r="J50" s="53"/>
      <c r="K50" s="54"/>
    </row>
    <row r="51" spans="1:11" ht="15.75" customHeight="1" x14ac:dyDescent="0.2">
      <c r="A51" s="61"/>
      <c r="B51" s="50"/>
      <c r="C51" s="55"/>
      <c r="D51" s="56"/>
      <c r="E51" s="56"/>
      <c r="F51" s="56"/>
      <c r="G51" s="56"/>
      <c r="H51" s="56"/>
      <c r="I51" s="56"/>
      <c r="J51" s="56"/>
      <c r="K51" s="57"/>
    </row>
    <row r="52" spans="1:11" ht="15.75" customHeight="1" x14ac:dyDescent="0.2">
      <c r="A52" s="61"/>
      <c r="B52" s="14" t="s">
        <v>15</v>
      </c>
      <c r="C52" s="51" t="s">
        <v>4</v>
      </c>
      <c r="D52" s="58" t="s">
        <v>5</v>
      </c>
      <c r="E52" s="62"/>
      <c r="F52" s="62"/>
      <c r="G52" s="62"/>
      <c r="H52" s="62"/>
      <c r="I52" s="62"/>
      <c r="J52" s="62"/>
      <c r="K52" s="59"/>
    </row>
    <row r="53" spans="1:11" ht="15.75" customHeight="1" x14ac:dyDescent="0.2">
      <c r="A53" s="61"/>
      <c r="B53" s="15" t="s">
        <v>6</v>
      </c>
      <c r="C53" s="50"/>
      <c r="D53" s="58" t="s">
        <v>7</v>
      </c>
      <c r="E53" s="59"/>
      <c r="F53" s="58" t="s">
        <v>8</v>
      </c>
      <c r="G53" s="59"/>
      <c r="H53" s="58" t="s">
        <v>16</v>
      </c>
      <c r="I53" s="59"/>
      <c r="J53" s="58" t="s">
        <v>10</v>
      </c>
      <c r="K53" s="59"/>
    </row>
    <row r="54" spans="1:11" ht="26" customHeight="1" x14ac:dyDescent="0.2">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7</v>
      </c>
    </row>
    <row r="59" spans="1:11" ht="15.75" customHeight="1" x14ac:dyDescent="0.25">
      <c r="B59" s="22"/>
      <c r="C59" s="23"/>
    </row>
    <row r="60" spans="1:11" ht="15.75" customHeight="1" x14ac:dyDescent="0.2"/>
    <row r="61" spans="1:11" ht="15.75" customHeight="1" x14ac:dyDescent="0.2">
      <c r="B61" s="79" t="s">
        <v>99</v>
      </c>
    </row>
    <row r="62" spans="1:11" ht="15.75" customHeight="1" x14ac:dyDescent="0.2">
      <c r="B62" s="79" t="s">
        <v>100</v>
      </c>
    </row>
    <row r="63" spans="1:11" ht="15.75" customHeight="1" x14ac:dyDescent="0.2">
      <c r="B63" s="80" t="s">
        <v>101</v>
      </c>
    </row>
    <row r="64" spans="1:11" ht="15.75" customHeight="1" x14ac:dyDescent="0.2">
      <c r="B64" s="80" t="s">
        <v>102</v>
      </c>
    </row>
    <row r="65" spans="2:2" ht="15.75" customHeight="1" x14ac:dyDescent="0.2">
      <c r="B65" s="80" t="s">
        <v>103</v>
      </c>
    </row>
    <row r="66" spans="2:2" ht="15.75" customHeight="1" x14ac:dyDescent="0.2">
      <c r="B66" s="80" t="s">
        <v>104</v>
      </c>
    </row>
    <row r="67" spans="2:2" ht="15.75" customHeight="1" x14ac:dyDescent="0.2">
      <c r="B67" s="80" t="s">
        <v>105</v>
      </c>
    </row>
    <row r="68" spans="2:2" ht="15.75" customHeight="1" x14ac:dyDescent="0.2"/>
    <row r="69" spans="2:2" ht="15.75" customHeight="1" x14ac:dyDescent="0.2">
      <c r="B69" s="79" t="s">
        <v>106</v>
      </c>
    </row>
    <row r="70" spans="2:2" ht="15.75" customHeight="1" x14ac:dyDescent="0.2"/>
    <row r="71" spans="2:2" ht="15.75" customHeight="1" x14ac:dyDescent="0.2"/>
    <row r="72" spans="2:2" ht="15.75" customHeight="1" x14ac:dyDescent="0.2"/>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2026-09-24T02:41:57Z</dcterms:modified>
  <cp:category/>
  <cp:contentStatus/>
</cp:coreProperties>
</file>